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uyeon\Desktop\QVM901\QVM Result Format\"/>
    </mc:Choice>
  </mc:AlternateContent>
  <xr:revisionPtr revIDLastSave="0" documentId="13_ncr:1_{497A9DFA-BC2C-4AA9-B956-54CF9FF8EA88}" xr6:coauthVersionLast="47" xr6:coauthVersionMax="47" xr10:uidLastSave="{00000000-0000-0000-0000-000000000000}"/>
  <bookViews>
    <workbookView xWindow="-120" yWindow="-120" windowWidth="38640" windowHeight="21120" xr2:uid="{D10B8B6D-EFAE-4393-ABD2-07636AFE56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1" l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H11" i="1"/>
  <c r="H10" i="1"/>
  <c r="H8" i="1"/>
  <c r="H9" i="1"/>
  <c r="H13" i="1"/>
  <c r="H12" i="1"/>
  <c r="H15" i="1"/>
  <c r="H14" i="1"/>
  <c r="H17" i="1"/>
  <c r="H16" i="1"/>
  <c r="H19" i="1"/>
  <c r="H18" i="1"/>
  <c r="H7" i="1"/>
  <c r="H6" i="1"/>
  <c r="H5" i="1"/>
  <c r="H4" i="1"/>
  <c r="T4" i="1" l="1"/>
  <c r="T10" i="1"/>
  <c r="T9" i="1"/>
  <c r="T8" i="1"/>
  <c r="T7" i="1"/>
  <c r="T3" i="1"/>
  <c r="T6" i="1"/>
  <c r="T5" i="1"/>
  <c r="T13" i="1" l="1"/>
  <c r="T14" i="1"/>
</calcChain>
</file>

<file path=xl/sharedStrings.xml><?xml version="1.0" encoding="utf-8"?>
<sst xmlns="http://schemas.openxmlformats.org/spreadsheetml/2006/main" count="134" uniqueCount="42">
  <si>
    <t>QP Location</t>
  </si>
  <si>
    <t>X</t>
  </si>
  <si>
    <t>Y</t>
  </si>
  <si>
    <t>LL_1</t>
  </si>
  <si>
    <t>LL_2</t>
  </si>
  <si>
    <t>LL_3</t>
  </si>
  <si>
    <t>LL_4</t>
  </si>
  <si>
    <t>UL_1</t>
  </si>
  <si>
    <t>UL_2</t>
  </si>
  <si>
    <t>UL_3</t>
  </si>
  <si>
    <t>UL_4</t>
  </si>
  <si>
    <t>LR_1</t>
  </si>
  <si>
    <t>LR_2</t>
  </si>
  <si>
    <t>LR_3</t>
  </si>
  <si>
    <t>LR_4</t>
  </si>
  <si>
    <t>UR_1</t>
  </si>
  <si>
    <t>UR_2</t>
  </si>
  <si>
    <t>UR_3</t>
  </si>
  <si>
    <t>UR_4</t>
  </si>
  <si>
    <t>X1</t>
  </si>
  <si>
    <t>X2</t>
  </si>
  <si>
    <t>Y1</t>
  </si>
  <si>
    <t>Y2</t>
  </si>
  <si>
    <t>UL</t>
  </si>
  <si>
    <t>LL</t>
  </si>
  <si>
    <t>LR</t>
  </si>
  <si>
    <t>UR</t>
  </si>
  <si>
    <t>- (1 - 4)</t>
  </si>
  <si>
    <t>- (2 - 3)</t>
  </si>
  <si>
    <t>1 - 2</t>
  </si>
  <si>
    <t>4 - 3</t>
  </si>
  <si>
    <t>- (2 - 1)</t>
  </si>
  <si>
    <t>4 - 1</t>
  </si>
  <si>
    <t>3 - 2</t>
  </si>
  <si>
    <t>- (3 - 4)</t>
  </si>
  <si>
    <t>QP</t>
  </si>
  <si>
    <t>Distance</t>
  </si>
  <si>
    <t>Calculation</t>
  </si>
  <si>
    <t>measured value</t>
  </si>
  <si>
    <t>Core (design)</t>
  </si>
  <si>
    <t>QP Shrinkage (mm)</t>
  </si>
  <si>
    <t>FP Shrinkage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</si>
</sst>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EE5858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67CA-A8FD-42DD-886A-140F5A16E531}">
  <dimension ref="B1:T19"/>
  <sheetViews>
    <sheetView tabSelected="1" topLeftCell="B1" zoomScale="250" zoomScaleNormal="250" workbookViewId="0">
      <selection activeCell="R16" sqref="R16"/>
    </sheetView>
  </sheetViews>
  <sheetFormatPr defaultRowHeight="12.75" x14ac:dyDescent="0.2"/>
  <cols>
    <col min="1" max="1" width="2.28515625" customWidth="1"/>
    <col min="2" max="2" width="11.28515625" bestFit="1" customWidth="1"/>
    <col min="3" max="3" width="7" bestFit="1" customWidth="1"/>
    <col min="4" max="4" width="8.7109375" bestFit="1" customWidth="1"/>
    <col min="5" max="5" width="3.7109375" bestFit="1" customWidth="1"/>
    <col min="6" max="6" width="3.28515625" bestFit="1" customWidth="1"/>
    <col min="7" max="7" width="7" bestFit="1" customWidth="1"/>
    <col min="9" max="9" width="2.28515625" customWidth="1"/>
    <col min="10" max="10" width="11.28515625" bestFit="1" customWidth="1"/>
    <col min="11" max="12" width="11.7109375" bestFit="1" customWidth="1"/>
    <col min="13" max="13" width="3.7109375" bestFit="1" customWidth="1"/>
    <col min="14" max="14" width="3.28515625" bestFit="1" customWidth="1"/>
    <col min="15" max="15" width="7" bestFit="1" customWidth="1"/>
    <col min="17" max="17" width="2.28515625" customWidth="1"/>
    <col min="19" max="19" width="2.28515625" bestFit="1" customWidth="1"/>
    <col min="20" max="20" width="12.140625" bestFit="1" customWidth="1"/>
  </cols>
  <sheetData>
    <row r="1" spans="2:20" ht="13.5" thickBot="1" x14ac:dyDescent="0.25"/>
    <row r="2" spans="2:20" x14ac:dyDescent="0.2">
      <c r="B2" s="10" t="s">
        <v>39</v>
      </c>
      <c r="C2" s="10"/>
      <c r="D2" s="10"/>
      <c r="E2" s="10"/>
      <c r="F2" s="10"/>
      <c r="G2" s="10"/>
      <c r="H2" s="10"/>
      <c r="J2" s="10" t="s">
        <v>38</v>
      </c>
      <c r="K2" s="10"/>
      <c r="L2" s="10"/>
      <c r="M2" s="10"/>
      <c r="N2" s="10"/>
      <c r="O2" s="10"/>
      <c r="P2" s="10"/>
      <c r="R2" s="18" t="s">
        <v>40</v>
      </c>
      <c r="S2" s="19"/>
      <c r="T2" s="20"/>
    </row>
    <row r="3" spans="2:20" x14ac:dyDescent="0.2">
      <c r="B3" s="3" t="s">
        <v>0</v>
      </c>
      <c r="C3" s="3" t="s">
        <v>1</v>
      </c>
      <c r="D3" s="3" t="s">
        <v>2</v>
      </c>
      <c r="E3" s="1" t="s">
        <v>35</v>
      </c>
      <c r="F3" s="11" t="s">
        <v>37</v>
      </c>
      <c r="G3" s="11"/>
      <c r="H3" s="1" t="s">
        <v>36</v>
      </c>
      <c r="J3" s="3" t="s">
        <v>0</v>
      </c>
      <c r="K3" s="3" t="s">
        <v>1</v>
      </c>
      <c r="L3" s="3" t="s">
        <v>2</v>
      </c>
      <c r="M3" s="1" t="s">
        <v>35</v>
      </c>
      <c r="N3" s="11" t="s">
        <v>37</v>
      </c>
      <c r="O3" s="11"/>
      <c r="P3" s="1" t="s">
        <v>36</v>
      </c>
      <c r="R3" s="16" t="s">
        <v>23</v>
      </c>
      <c r="S3" s="4" t="s">
        <v>1</v>
      </c>
      <c r="T3" s="5">
        <f>((P4-H4)+(P5-H5))/2</f>
        <v>-200.64999999999998</v>
      </c>
    </row>
    <row r="4" spans="2:20" x14ac:dyDescent="0.2">
      <c r="B4" s="3" t="s">
        <v>7</v>
      </c>
      <c r="C4">
        <v>-222.7</v>
      </c>
      <c r="D4">
        <v>239.875</v>
      </c>
      <c r="E4" s="12" t="s">
        <v>23</v>
      </c>
      <c r="F4" t="s">
        <v>19</v>
      </c>
      <c r="G4" s="2" t="s">
        <v>27</v>
      </c>
      <c r="H4">
        <f>-(C4-C7)</f>
        <v>200.64999999999998</v>
      </c>
      <c r="J4" s="3" t="s">
        <v>7</v>
      </c>
      <c r="M4" s="12" t="s">
        <v>23</v>
      </c>
      <c r="N4" t="s">
        <v>19</v>
      </c>
      <c r="O4" s="2" t="s">
        <v>27</v>
      </c>
      <c r="P4">
        <f>-(K4-K7)</f>
        <v>0</v>
      </c>
      <c r="R4" s="16"/>
      <c r="S4" s="4" t="s">
        <v>2</v>
      </c>
      <c r="T4" s="5">
        <f>((P6-H6)+(P7-H7))/2</f>
        <v>-235.75</v>
      </c>
    </row>
    <row r="5" spans="2:20" x14ac:dyDescent="0.2">
      <c r="B5" s="3" t="s">
        <v>8</v>
      </c>
      <c r="C5">
        <v>-222.7</v>
      </c>
      <c r="D5">
        <v>4.125</v>
      </c>
      <c r="E5" s="12"/>
      <c r="F5" t="s">
        <v>20</v>
      </c>
      <c r="G5" s="2" t="s">
        <v>28</v>
      </c>
      <c r="H5">
        <f>-(C5-C6)</f>
        <v>200.64999999999998</v>
      </c>
      <c r="J5" s="3" t="s">
        <v>8</v>
      </c>
      <c r="M5" s="12"/>
      <c r="N5" t="s">
        <v>20</v>
      </c>
      <c r="O5" s="2" t="s">
        <v>28</v>
      </c>
      <c r="P5">
        <f>-(K5-K6)</f>
        <v>0</v>
      </c>
      <c r="R5" s="16" t="s">
        <v>24</v>
      </c>
      <c r="S5" s="4" t="s">
        <v>1</v>
      </c>
      <c r="T5" s="5">
        <f>((P8-H8)+(P9-H9))/2</f>
        <v>-200.64999999999998</v>
      </c>
    </row>
    <row r="6" spans="2:20" x14ac:dyDescent="0.2">
      <c r="B6" s="3" t="s">
        <v>9</v>
      </c>
      <c r="C6">
        <v>-22.05</v>
      </c>
      <c r="D6">
        <v>4.125</v>
      </c>
      <c r="E6" s="12"/>
      <c r="F6" t="s">
        <v>21</v>
      </c>
      <c r="G6" s="2" t="s">
        <v>29</v>
      </c>
      <c r="H6">
        <f>D4-D5</f>
        <v>235.75</v>
      </c>
      <c r="J6" s="3" t="s">
        <v>9</v>
      </c>
      <c r="M6" s="12"/>
      <c r="N6" t="s">
        <v>21</v>
      </c>
      <c r="O6" s="2" t="s">
        <v>29</v>
      </c>
      <c r="P6">
        <f>L4-L5</f>
        <v>0</v>
      </c>
      <c r="R6" s="16"/>
      <c r="S6" s="4" t="s">
        <v>2</v>
      </c>
      <c r="T6" s="5">
        <f>((P10-H10)+(P11-H11))/2</f>
        <v>-235.75</v>
      </c>
    </row>
    <row r="7" spans="2:20" x14ac:dyDescent="0.2">
      <c r="B7" s="3" t="s">
        <v>10</v>
      </c>
      <c r="C7">
        <v>-22.05</v>
      </c>
      <c r="D7">
        <v>239.875</v>
      </c>
      <c r="E7" s="12"/>
      <c r="F7" t="s">
        <v>22</v>
      </c>
      <c r="G7" s="2" t="s">
        <v>30</v>
      </c>
      <c r="H7">
        <f>D7-D6</f>
        <v>235.75</v>
      </c>
      <c r="J7" s="3" t="s">
        <v>10</v>
      </c>
      <c r="M7" s="12"/>
      <c r="N7" t="s">
        <v>22</v>
      </c>
      <c r="O7" s="2" t="s">
        <v>30</v>
      </c>
      <c r="P7">
        <f>L7-L6</f>
        <v>0</v>
      </c>
      <c r="R7" s="16" t="s">
        <v>25</v>
      </c>
      <c r="S7" s="4" t="s">
        <v>1</v>
      </c>
      <c r="T7" s="5">
        <f>((P12-H12)+(P13-H13))/2</f>
        <v>-200.64999999999998</v>
      </c>
    </row>
    <row r="8" spans="2:20" x14ac:dyDescent="0.2">
      <c r="B8" s="3" t="s">
        <v>3</v>
      </c>
      <c r="C8">
        <v>-222.7</v>
      </c>
      <c r="D8">
        <v>-4.125</v>
      </c>
      <c r="E8" s="12" t="s">
        <v>24</v>
      </c>
      <c r="F8" t="s">
        <v>19</v>
      </c>
      <c r="G8" s="2" t="s">
        <v>27</v>
      </c>
      <c r="H8">
        <f>-(C8-C11)</f>
        <v>200.64999999999998</v>
      </c>
      <c r="J8" s="3" t="s">
        <v>3</v>
      </c>
      <c r="M8" s="12" t="s">
        <v>24</v>
      </c>
      <c r="N8" t="s">
        <v>19</v>
      </c>
      <c r="O8" s="2" t="s">
        <v>27</v>
      </c>
      <c r="P8">
        <f>-(K8-K11)</f>
        <v>0</v>
      </c>
      <c r="R8" s="16"/>
      <c r="S8" s="4" t="s">
        <v>2</v>
      </c>
      <c r="T8" s="5">
        <f>((P14-H14)+(P15-H15))/2</f>
        <v>-235.75</v>
      </c>
    </row>
    <row r="9" spans="2:20" x14ac:dyDescent="0.2">
      <c r="B9" s="3" t="s">
        <v>4</v>
      </c>
      <c r="C9">
        <v>-222.7</v>
      </c>
      <c r="D9">
        <v>-239.875</v>
      </c>
      <c r="E9" s="12"/>
      <c r="F9" t="s">
        <v>20</v>
      </c>
      <c r="G9" s="2" t="s">
        <v>28</v>
      </c>
      <c r="H9">
        <f>-(C9-C10)</f>
        <v>200.64999999999998</v>
      </c>
      <c r="J9" s="3" t="s">
        <v>4</v>
      </c>
      <c r="M9" s="12"/>
      <c r="N9" t="s">
        <v>20</v>
      </c>
      <c r="O9" s="2" t="s">
        <v>28</v>
      </c>
      <c r="P9">
        <f>-(K9-K10)</f>
        <v>0</v>
      </c>
      <c r="R9" s="16" t="s">
        <v>26</v>
      </c>
      <c r="S9" s="4" t="s">
        <v>1</v>
      </c>
      <c r="T9" s="5">
        <f>((P16-H16)+(P17-H17))/2</f>
        <v>-200.64999999999998</v>
      </c>
    </row>
    <row r="10" spans="2:20" ht="13.5" thickBot="1" x14ac:dyDescent="0.25">
      <c r="B10" s="3" t="s">
        <v>5</v>
      </c>
      <c r="C10">
        <v>-22.05</v>
      </c>
      <c r="D10">
        <v>-239.875</v>
      </c>
      <c r="E10" s="12"/>
      <c r="F10" t="s">
        <v>21</v>
      </c>
      <c r="G10" s="2" t="s">
        <v>31</v>
      </c>
      <c r="H10">
        <f>-(D9-D8)</f>
        <v>235.75</v>
      </c>
      <c r="J10" s="3" t="s">
        <v>5</v>
      </c>
      <c r="M10" s="12"/>
      <c r="N10" t="s">
        <v>21</v>
      </c>
      <c r="O10" s="2" t="s">
        <v>31</v>
      </c>
      <c r="P10">
        <f>-(L9-L8)</f>
        <v>0</v>
      </c>
      <c r="R10" s="17"/>
      <c r="S10" s="6" t="s">
        <v>2</v>
      </c>
      <c r="T10" s="7">
        <f>((P18-H18)+(P19-H19))/2</f>
        <v>-235.75</v>
      </c>
    </row>
    <row r="11" spans="2:20" ht="13.5" thickBot="1" x14ac:dyDescent="0.25">
      <c r="B11" s="3" t="s">
        <v>6</v>
      </c>
      <c r="C11">
        <v>-22.05</v>
      </c>
      <c r="D11">
        <v>-4.125</v>
      </c>
      <c r="E11" s="12"/>
      <c r="F11" t="s">
        <v>22</v>
      </c>
      <c r="G11" s="2" t="s">
        <v>34</v>
      </c>
      <c r="H11">
        <f>-(D10-D11)</f>
        <v>235.75</v>
      </c>
      <c r="J11" s="3" t="s">
        <v>6</v>
      </c>
      <c r="M11" s="12"/>
      <c r="N11" t="s">
        <v>22</v>
      </c>
      <c r="O11" s="2" t="s">
        <v>34</v>
      </c>
      <c r="P11">
        <f>-(L10-L11)</f>
        <v>0</v>
      </c>
    </row>
    <row r="12" spans="2:20" x14ac:dyDescent="0.2">
      <c r="B12" s="3" t="s">
        <v>11</v>
      </c>
      <c r="C12">
        <v>20.3</v>
      </c>
      <c r="D12">
        <v>-4.125</v>
      </c>
      <c r="E12" s="12" t="s">
        <v>25</v>
      </c>
      <c r="F12" t="s">
        <v>19</v>
      </c>
      <c r="G12" s="2" t="s">
        <v>32</v>
      </c>
      <c r="H12">
        <f>C15-C12</f>
        <v>200.64999999999998</v>
      </c>
      <c r="J12" s="3" t="s">
        <v>11</v>
      </c>
      <c r="M12" s="12" t="s">
        <v>25</v>
      </c>
      <c r="N12" t="s">
        <v>19</v>
      </c>
      <c r="O12" s="2" t="s">
        <v>32</v>
      </c>
      <c r="P12">
        <f>K15-K12</f>
        <v>0</v>
      </c>
      <c r="R12" s="13" t="s">
        <v>41</v>
      </c>
      <c r="S12" s="14"/>
      <c r="T12" s="15"/>
    </row>
    <row r="13" spans="2:20" x14ac:dyDescent="0.2">
      <c r="B13" s="3" t="s">
        <v>12</v>
      </c>
      <c r="C13">
        <v>20.3</v>
      </c>
      <c r="D13">
        <v>-239.875</v>
      </c>
      <c r="E13" s="12"/>
      <c r="F13" t="s">
        <v>20</v>
      </c>
      <c r="G13" s="2" t="s">
        <v>33</v>
      </c>
      <c r="H13">
        <f>C14-C13</f>
        <v>200.64999999999998</v>
      </c>
      <c r="J13" s="3" t="s">
        <v>12</v>
      </c>
      <c r="M13" s="12"/>
      <c r="N13" t="s">
        <v>20</v>
      </c>
      <c r="O13" s="2" t="s">
        <v>33</v>
      </c>
      <c r="P13">
        <f>K14-K13</f>
        <v>0</v>
      </c>
      <c r="R13" s="8"/>
      <c r="S13" s="4" t="s">
        <v>1</v>
      </c>
      <c r="T13" s="5">
        <f>(T3+T5+T7+T9)/4</f>
        <v>-200.64999999999998</v>
      </c>
    </row>
    <row r="14" spans="2:20" ht="13.5" thickBot="1" x14ac:dyDescent="0.25">
      <c r="B14" s="3" t="s">
        <v>13</v>
      </c>
      <c r="C14">
        <v>220.95</v>
      </c>
      <c r="D14">
        <v>-239.875</v>
      </c>
      <c r="E14" s="12"/>
      <c r="F14" t="s">
        <v>21</v>
      </c>
      <c r="G14" s="2" t="s">
        <v>31</v>
      </c>
      <c r="H14">
        <f>-(D13-D12)</f>
        <v>235.75</v>
      </c>
      <c r="J14" s="3" t="s">
        <v>13</v>
      </c>
      <c r="M14" s="12"/>
      <c r="N14" t="s">
        <v>21</v>
      </c>
      <c r="O14" s="2" t="s">
        <v>31</v>
      </c>
      <c r="P14">
        <f>-(L13-L12)</f>
        <v>0</v>
      </c>
      <c r="R14" s="9"/>
      <c r="S14" s="6" t="s">
        <v>2</v>
      </c>
      <c r="T14" s="7">
        <f>(T4+T6+T8+T10)/4</f>
        <v>-235.75</v>
      </c>
    </row>
    <row r="15" spans="2:20" x14ac:dyDescent="0.2">
      <c r="B15" s="3" t="s">
        <v>14</v>
      </c>
      <c r="C15">
        <v>220.95</v>
      </c>
      <c r="D15">
        <v>-4.125</v>
      </c>
      <c r="E15" s="12"/>
      <c r="F15" t="s">
        <v>22</v>
      </c>
      <c r="G15" s="2" t="s">
        <v>34</v>
      </c>
      <c r="H15">
        <f>-(D14-D15)</f>
        <v>235.75</v>
      </c>
      <c r="J15" s="3" t="s">
        <v>14</v>
      </c>
      <c r="M15" s="12"/>
      <c r="N15" t="s">
        <v>22</v>
      </c>
      <c r="O15" s="2" t="s">
        <v>34</v>
      </c>
      <c r="P15">
        <f>-(L14-L15)</f>
        <v>0</v>
      </c>
    </row>
    <row r="16" spans="2:20" x14ac:dyDescent="0.2">
      <c r="B16" s="3" t="s">
        <v>15</v>
      </c>
      <c r="C16">
        <v>20.3</v>
      </c>
      <c r="D16">
        <v>239.875</v>
      </c>
      <c r="E16" s="12" t="s">
        <v>26</v>
      </c>
      <c r="F16" t="s">
        <v>19</v>
      </c>
      <c r="G16" s="2" t="s">
        <v>32</v>
      </c>
      <c r="H16">
        <f>C19-C16</f>
        <v>200.64999999999998</v>
      </c>
      <c r="J16" s="3" t="s">
        <v>15</v>
      </c>
      <c r="M16" s="12" t="s">
        <v>26</v>
      </c>
      <c r="N16" t="s">
        <v>19</v>
      </c>
      <c r="O16" s="2" t="s">
        <v>32</v>
      </c>
      <c r="P16">
        <f>K19-K16</f>
        <v>0</v>
      </c>
    </row>
    <row r="17" spans="2:16" x14ac:dyDescent="0.2">
      <c r="B17" s="3" t="s">
        <v>16</v>
      </c>
      <c r="C17">
        <v>20.3</v>
      </c>
      <c r="D17">
        <v>4.125</v>
      </c>
      <c r="E17" s="12"/>
      <c r="F17" t="s">
        <v>20</v>
      </c>
      <c r="G17" s="2" t="s">
        <v>33</v>
      </c>
      <c r="H17">
        <f>C18-C17</f>
        <v>200.64999999999998</v>
      </c>
      <c r="J17" s="3" t="s">
        <v>16</v>
      </c>
      <c r="M17" s="12"/>
      <c r="N17" t="s">
        <v>20</v>
      </c>
      <c r="O17" s="2" t="s">
        <v>33</v>
      </c>
      <c r="P17">
        <f>K18-K17</f>
        <v>0</v>
      </c>
    </row>
    <row r="18" spans="2:16" x14ac:dyDescent="0.2">
      <c r="B18" s="3" t="s">
        <v>17</v>
      </c>
      <c r="C18">
        <v>220.95</v>
      </c>
      <c r="D18">
        <v>4.125</v>
      </c>
      <c r="E18" s="12"/>
      <c r="F18" t="s">
        <v>21</v>
      </c>
      <c r="G18" s="2" t="s">
        <v>29</v>
      </c>
      <c r="H18">
        <f>D16-D17</f>
        <v>235.75</v>
      </c>
      <c r="J18" s="3" t="s">
        <v>17</v>
      </c>
      <c r="M18" s="12"/>
      <c r="N18" t="s">
        <v>21</v>
      </c>
      <c r="O18" s="2" t="s">
        <v>29</v>
      </c>
      <c r="P18">
        <f>L16-L17</f>
        <v>0</v>
      </c>
    </row>
    <row r="19" spans="2:16" x14ac:dyDescent="0.2">
      <c r="B19" s="3" t="s">
        <v>18</v>
      </c>
      <c r="C19">
        <v>220.95</v>
      </c>
      <c r="D19">
        <v>239.875</v>
      </c>
      <c r="E19" s="12"/>
      <c r="F19" t="s">
        <v>22</v>
      </c>
      <c r="G19" s="2" t="s">
        <v>30</v>
      </c>
      <c r="H19">
        <f>D19-D18</f>
        <v>235.75</v>
      </c>
      <c r="J19" s="3" t="s">
        <v>18</v>
      </c>
      <c r="M19" s="12"/>
      <c r="N19" t="s">
        <v>22</v>
      </c>
      <c r="O19" s="2" t="s">
        <v>30</v>
      </c>
      <c r="P19">
        <f>L19-L18</f>
        <v>0</v>
      </c>
    </row>
  </sheetData>
  <mergeCells count="18">
    <mergeCell ref="R12:T12"/>
    <mergeCell ref="J2:P2"/>
    <mergeCell ref="N3:O3"/>
    <mergeCell ref="M4:M7"/>
    <mergeCell ref="M8:M11"/>
    <mergeCell ref="M12:M15"/>
    <mergeCell ref="R3:R4"/>
    <mergeCell ref="R5:R6"/>
    <mergeCell ref="R7:R8"/>
    <mergeCell ref="R9:R10"/>
    <mergeCell ref="R2:T2"/>
    <mergeCell ref="B2:H2"/>
    <mergeCell ref="F3:G3"/>
    <mergeCell ref="M16:M19"/>
    <mergeCell ref="E4:E7"/>
    <mergeCell ref="E8:E11"/>
    <mergeCell ref="E12:E15"/>
    <mergeCell ref="E16:E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Suyeon</dc:creator>
  <cp:lastModifiedBy>Jo Suyeon</cp:lastModifiedBy>
  <dcterms:created xsi:type="dcterms:W3CDTF">2025-11-07T07:34:39Z</dcterms:created>
  <dcterms:modified xsi:type="dcterms:W3CDTF">2026-03-09T06:44:24Z</dcterms:modified>
</cp:coreProperties>
</file>