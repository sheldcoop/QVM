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8"/>
    </font>
  </fonts>
  <fills count="4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EE5858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19"/>
  <sheetViews>
    <sheetView tabSelected="1" topLeftCell="B1" zoomScale="250" zoomScaleNormal="250" workbookViewId="0">
      <selection activeCell="R16" sqref="R16"/>
    </sheetView>
  </sheetViews>
  <sheetFormatPr baseColWidth="8" defaultRowHeight="12.75"/>
  <cols>
    <col width="2.28515625" customWidth="1" style="4" min="1" max="1"/>
    <col width="11.28515625" bestFit="1" customWidth="1" style="4" min="2" max="2"/>
    <col width="7" bestFit="1" customWidth="1" style="4" min="3" max="3"/>
    <col width="8.7109375" bestFit="1" customWidth="1" style="4" min="4" max="4"/>
    <col width="3.7109375" bestFit="1" customWidth="1" style="4" min="5" max="5"/>
    <col width="3.28515625" bestFit="1" customWidth="1" style="4" min="6" max="6"/>
    <col width="7" bestFit="1" customWidth="1" style="4" min="7" max="7"/>
    <col width="2.28515625" customWidth="1" style="4" min="9" max="9"/>
    <col width="11.28515625" bestFit="1" customWidth="1" style="4" min="10" max="10"/>
    <col width="11.7109375" bestFit="1" customWidth="1" style="4" min="11" max="12"/>
    <col width="3.7109375" bestFit="1" customWidth="1" style="4" min="13" max="13"/>
    <col width="3.28515625" bestFit="1" customWidth="1" style="4" min="14" max="14"/>
    <col width="7" bestFit="1" customWidth="1" style="4" min="15" max="15"/>
    <col width="2.28515625" customWidth="1" style="4" min="17" max="17"/>
    <col width="2.28515625" bestFit="1" customWidth="1" style="4" min="19" max="19"/>
    <col width="12.140625" bestFit="1" customWidth="1" style="4" min="20" max="20"/>
  </cols>
  <sheetData>
    <row r="1" ht="13.5" customHeight="1" s="4" thickBot="1"/>
    <row r="2">
      <c r="B2" s="10" t="inlineStr">
        <is>
          <t>Design (quadrant 232.5 x 193.9 mm)</t>
        </is>
      </c>
      <c r="J2" s="10" t="inlineStr">
        <is>
          <t>measured value (BU02 Panel 28 Back)</t>
        </is>
      </c>
      <c r="R2" s="21" t="inlineStr">
        <is>
          <t>QP Shrinkage (mm)</t>
        </is>
      </c>
      <c r="S2" s="22" t="n"/>
      <c r="T2" s="23" t="n"/>
    </row>
    <row r="3">
      <c r="B3" s="12" t="inlineStr">
        <is>
          <t>QP Location</t>
        </is>
      </c>
      <c r="C3" s="12" t="inlineStr">
        <is>
          <t>X</t>
        </is>
      </c>
      <c r="D3" s="12" t="inlineStr">
        <is>
          <t>Y</t>
        </is>
      </c>
      <c r="E3" s="11" t="inlineStr">
        <is>
          <t>QP</t>
        </is>
      </c>
      <c r="F3" s="11" t="inlineStr">
        <is>
          <t>Calculation</t>
        </is>
      </c>
      <c r="H3" s="11" t="inlineStr">
        <is>
          <t>Distance</t>
        </is>
      </c>
      <c r="J3" s="12" t="inlineStr">
        <is>
          <t>QP Location</t>
        </is>
      </c>
      <c r="K3" s="12" t="inlineStr">
        <is>
          <t>X</t>
        </is>
      </c>
      <c r="L3" s="12" t="inlineStr">
        <is>
          <t>Y</t>
        </is>
      </c>
      <c r="M3" s="11" t="inlineStr">
        <is>
          <t>QP</t>
        </is>
      </c>
      <c r="N3" s="11" t="inlineStr">
        <is>
          <t>Calculation</t>
        </is>
      </c>
      <c r="P3" s="11" t="inlineStr">
        <is>
          <t>Distance</t>
        </is>
      </c>
      <c r="R3" s="16" t="inlineStr">
        <is>
          <t>UL</t>
        </is>
      </c>
      <c r="S3" t="inlineStr">
        <is>
          <t>X</t>
        </is>
      </c>
      <c r="T3" s="5">
        <f>((P4-H4)+(P5-H5))/2</f>
        <v/>
      </c>
    </row>
    <row r="4">
      <c r="B4" s="12" t="inlineStr">
        <is>
          <t>UL_1</t>
        </is>
      </c>
      <c r="C4" t="n">
        <v>-237.375</v>
      </c>
      <c r="D4" t="n">
        <v>218.95</v>
      </c>
      <c r="E4" s="12" t="inlineStr">
        <is>
          <t>UL</t>
        </is>
      </c>
      <c r="F4" t="inlineStr">
        <is>
          <t>X1</t>
        </is>
      </c>
      <c r="G4" s="2" t="inlineStr">
        <is>
          <t>- (1 - 4)</t>
        </is>
      </c>
      <c r="H4">
        <f>-(C4-C7)</f>
        <v/>
      </c>
      <c r="J4" s="12" t="inlineStr">
        <is>
          <t>UL_1</t>
        </is>
      </c>
      <c r="K4" t="n">
        <v>62.649254</v>
      </c>
      <c r="L4" t="n">
        <v>542.573441</v>
      </c>
      <c r="M4" s="12" t="inlineStr">
        <is>
          <t>UL</t>
        </is>
      </c>
      <c r="N4" t="inlineStr">
        <is>
          <t>X1</t>
        </is>
      </c>
      <c r="O4" s="2" t="inlineStr">
        <is>
          <t>- (1 - 4)</t>
        </is>
      </c>
      <c r="P4">
        <f>-(K4-K7)</f>
        <v/>
      </c>
      <c r="R4" s="8" t="n"/>
      <c r="S4" t="inlineStr">
        <is>
          <t>Y</t>
        </is>
      </c>
      <c r="T4" s="5">
        <f>((P6-H6)+(P7-H7))/2</f>
        <v/>
      </c>
    </row>
    <row r="5">
      <c r="B5" s="12" t="inlineStr">
        <is>
          <t>UL_2</t>
        </is>
      </c>
      <c r="C5" t="n">
        <v>-237.375</v>
      </c>
      <c r="D5" t="n">
        <v>25.05</v>
      </c>
      <c r="F5" t="inlineStr">
        <is>
          <t>X2</t>
        </is>
      </c>
      <c r="G5" s="2" t="inlineStr">
        <is>
          <t>- (2 - 3)</t>
        </is>
      </c>
      <c r="H5">
        <f>-(C5-C6)</f>
        <v/>
      </c>
      <c r="J5" s="12" t="inlineStr">
        <is>
          <t>UL_2</t>
        </is>
      </c>
      <c r="K5" t="n">
        <v>63.06691</v>
      </c>
      <c r="L5" t="n">
        <v>348.602955</v>
      </c>
      <c r="N5" t="inlineStr">
        <is>
          <t>X2</t>
        </is>
      </c>
      <c r="O5" s="2" t="inlineStr">
        <is>
          <t>- (2 - 3)</t>
        </is>
      </c>
      <c r="P5">
        <f>-(K5-K6)</f>
        <v/>
      </c>
      <c r="R5" s="16" t="inlineStr">
        <is>
          <t>LL</t>
        </is>
      </c>
      <c r="S5" t="inlineStr">
        <is>
          <t>X</t>
        </is>
      </c>
      <c r="T5" s="5">
        <f>((P8-H8)+(P9-H9))/2</f>
        <v/>
      </c>
    </row>
    <row r="6">
      <c r="B6" s="12" t="inlineStr">
        <is>
          <t>UL_3</t>
        </is>
      </c>
      <c r="C6" t="n">
        <v>-4.875</v>
      </c>
      <c r="D6" t="n">
        <v>25.05</v>
      </c>
      <c r="F6" t="inlineStr">
        <is>
          <t>Y1</t>
        </is>
      </c>
      <c r="G6" s="2" t="inlineStr">
        <is>
          <t>1 - 2</t>
        </is>
      </c>
      <c r="H6">
        <f>D4-D5</f>
        <v/>
      </c>
      <c r="J6" s="12" t="inlineStr">
        <is>
          <t>UL_3</t>
        </is>
      </c>
      <c r="K6" t="n">
        <v>295.643536</v>
      </c>
      <c r="L6" t="n">
        <v>349.100128</v>
      </c>
      <c r="N6" t="inlineStr">
        <is>
          <t>Y1</t>
        </is>
      </c>
      <c r="O6" s="2" t="inlineStr">
        <is>
          <t>1 - 2</t>
        </is>
      </c>
      <c r="P6">
        <f>L4-L5</f>
        <v/>
      </c>
      <c r="R6" s="8" t="n"/>
      <c r="S6" t="inlineStr">
        <is>
          <t>Y</t>
        </is>
      </c>
      <c r="T6" s="5">
        <f>((P10-H10)+(P11-H11))/2</f>
        <v/>
      </c>
    </row>
    <row r="7">
      <c r="B7" s="12" t="inlineStr">
        <is>
          <t>UL_4</t>
        </is>
      </c>
      <c r="C7" t="n">
        <v>-4.875</v>
      </c>
      <c r="D7" t="n">
        <v>218.95</v>
      </c>
      <c r="F7" t="inlineStr">
        <is>
          <t>Y2</t>
        </is>
      </c>
      <c r="G7" s="2" t="inlineStr">
        <is>
          <t>4 - 3</t>
        </is>
      </c>
      <c r="H7">
        <f>D7-D6</f>
        <v/>
      </c>
      <c r="J7" s="12" t="inlineStr">
        <is>
          <t>UL_4</t>
        </is>
      </c>
      <c r="K7" t="n">
        <v>295.224925</v>
      </c>
      <c r="L7" t="n">
        <v>543.073125</v>
      </c>
      <c r="N7" t="inlineStr">
        <is>
          <t>Y2</t>
        </is>
      </c>
      <c r="O7" s="2" t="inlineStr">
        <is>
          <t>4 - 3</t>
        </is>
      </c>
      <c r="P7">
        <f>L7-L6</f>
        <v/>
      </c>
      <c r="R7" s="16" t="inlineStr">
        <is>
          <t>LR</t>
        </is>
      </c>
      <c r="S7" t="inlineStr">
        <is>
          <t>X</t>
        </is>
      </c>
      <c r="T7" s="5">
        <f>((P12-H12)+(P13-H13))/2</f>
        <v/>
      </c>
    </row>
    <row r="8">
      <c r="B8" s="12" t="inlineStr">
        <is>
          <t>LL_1</t>
        </is>
      </c>
      <c r="C8" t="n">
        <v>-237.375</v>
      </c>
      <c r="D8" t="n">
        <v>-25.05000000000001</v>
      </c>
      <c r="E8" s="12" t="inlineStr">
        <is>
          <t>LL</t>
        </is>
      </c>
      <c r="F8" t="inlineStr">
        <is>
          <t>X1</t>
        </is>
      </c>
      <c r="G8" s="2" t="inlineStr">
        <is>
          <t>- (1 - 4)</t>
        </is>
      </c>
      <c r="H8">
        <f>-(C8-C11)</f>
        <v/>
      </c>
      <c r="J8" s="12" t="inlineStr">
        <is>
          <t>LL_1</t>
        </is>
      </c>
      <c r="K8" t="n">
        <v>63.174502</v>
      </c>
      <c r="L8" t="n">
        <v>298.495076</v>
      </c>
      <c r="M8" s="12" t="inlineStr">
        <is>
          <t>LL</t>
        </is>
      </c>
      <c r="N8" t="inlineStr">
        <is>
          <t>X1</t>
        </is>
      </c>
      <c r="O8" s="2" t="inlineStr">
        <is>
          <t>- (1 - 4)</t>
        </is>
      </c>
      <c r="P8">
        <f>-(K8-K11)</f>
        <v/>
      </c>
      <c r="R8" s="8" t="n"/>
      <c r="S8" t="inlineStr">
        <is>
          <t>Y</t>
        </is>
      </c>
      <c r="T8" s="5">
        <f>((P14-H14)+(P15-H15))/2</f>
        <v/>
      </c>
    </row>
    <row r="9">
      <c r="B9" s="12" t="inlineStr">
        <is>
          <t>LL_2</t>
        </is>
      </c>
      <c r="C9" t="n">
        <v>-237.375</v>
      </c>
      <c r="D9" t="n">
        <v>-218.95</v>
      </c>
      <c r="F9" t="inlineStr">
        <is>
          <t>X2</t>
        </is>
      </c>
      <c r="G9" s="2" t="inlineStr">
        <is>
          <t>- (2 - 3)</t>
        </is>
      </c>
      <c r="H9">
        <f>-(C9-C10)</f>
        <v/>
      </c>
      <c r="J9" s="12" t="inlineStr">
        <is>
          <t>LL_2</t>
        </is>
      </c>
      <c r="K9" t="n">
        <v>63.597008</v>
      </c>
      <c r="L9" t="n">
        <v>104.523187</v>
      </c>
      <c r="N9" t="inlineStr">
        <is>
          <t>X2</t>
        </is>
      </c>
      <c r="O9" s="2" t="inlineStr">
        <is>
          <t>- (2 - 3)</t>
        </is>
      </c>
      <c r="P9">
        <f>-(K9-K10)</f>
        <v/>
      </c>
      <c r="R9" s="17" t="inlineStr">
        <is>
          <t>UR</t>
        </is>
      </c>
      <c r="S9" t="inlineStr">
        <is>
          <t>X</t>
        </is>
      </c>
      <c r="T9" s="5">
        <f>((P16-H16)+(P17-H17))/2</f>
        <v/>
      </c>
    </row>
    <row r="10" ht="13.5" customHeight="1" s="4" thickBot="1">
      <c r="B10" s="12" t="inlineStr">
        <is>
          <t>LL_3</t>
        </is>
      </c>
      <c r="C10" t="n">
        <v>-4.875</v>
      </c>
      <c r="D10" t="n">
        <v>-218.95</v>
      </c>
      <c r="F10" t="inlineStr">
        <is>
          <t>Y1</t>
        </is>
      </c>
      <c r="G10" s="2" t="inlineStr">
        <is>
          <t>- (2 - 1)</t>
        </is>
      </c>
      <c r="H10">
        <f>-(D9-D8)</f>
        <v/>
      </c>
      <c r="J10" s="12" t="inlineStr">
        <is>
          <t>LL_3</t>
        </is>
      </c>
      <c r="K10" t="n">
        <v>296.174337</v>
      </c>
      <c r="L10" t="n">
        <v>105.024596</v>
      </c>
      <c r="N10" t="inlineStr">
        <is>
          <t>Y1</t>
        </is>
      </c>
      <c r="O10" s="2" t="inlineStr">
        <is>
          <t>- (2 - 1)</t>
        </is>
      </c>
      <c r="P10">
        <f>-(L9-L8)</f>
        <v/>
      </c>
      <c r="R10" s="9" t="n"/>
      <c r="S10" s="6" t="inlineStr">
        <is>
          <t>Y</t>
        </is>
      </c>
      <c r="T10" s="7">
        <f>((P18-H18)+(P19-H19))/2</f>
        <v/>
      </c>
    </row>
    <row r="11" ht="13.5" customHeight="1" s="4" thickBot="1">
      <c r="B11" s="12" t="inlineStr">
        <is>
          <t>LL_4</t>
        </is>
      </c>
      <c r="C11" t="n">
        <v>-4.875</v>
      </c>
      <c r="D11" t="n">
        <v>-25.05000000000001</v>
      </c>
      <c r="F11" t="inlineStr">
        <is>
          <t>Y2</t>
        </is>
      </c>
      <c r="G11" s="2" t="inlineStr">
        <is>
          <t>- (3 - 4)</t>
        </is>
      </c>
      <c r="H11">
        <f>-(D10-D11)</f>
        <v/>
      </c>
      <c r="J11" s="12" t="inlineStr">
        <is>
          <t>LL_4</t>
        </is>
      </c>
      <c r="K11" t="n">
        <v>295.75335</v>
      </c>
      <c r="L11" t="n">
        <v>298.997094</v>
      </c>
      <c r="N11" t="inlineStr">
        <is>
          <t>Y2</t>
        </is>
      </c>
      <c r="O11" s="2" t="inlineStr">
        <is>
          <t>- (3 - 4)</t>
        </is>
      </c>
      <c r="P11">
        <f>-(L10-L11)</f>
        <v/>
      </c>
    </row>
    <row r="12">
      <c r="B12" s="12" t="inlineStr">
        <is>
          <t>LR_1</t>
        </is>
      </c>
      <c r="C12" t="n">
        <v>4.875</v>
      </c>
      <c r="D12" t="n">
        <v>-25.05000000000001</v>
      </c>
      <c r="E12" s="12" t="inlineStr">
        <is>
          <t>LR</t>
        </is>
      </c>
      <c r="F12" t="inlineStr">
        <is>
          <t>X1</t>
        </is>
      </c>
      <c r="G12" s="2" t="inlineStr">
        <is>
          <t>4 - 1</t>
        </is>
      </c>
      <c r="H12">
        <f>C15-C12</f>
        <v/>
      </c>
      <c r="J12" s="12" t="inlineStr">
        <is>
          <t>LR_1</t>
        </is>
      </c>
      <c r="K12" t="n">
        <v>306.257032</v>
      </c>
      <c r="L12" t="n">
        <v>299.01526</v>
      </c>
      <c r="M12" s="12" t="inlineStr">
        <is>
          <t>LR</t>
        </is>
      </c>
      <c r="N12" t="inlineStr">
        <is>
          <t>X1</t>
        </is>
      </c>
      <c r="O12" s="2" t="inlineStr">
        <is>
          <t>4 - 1</t>
        </is>
      </c>
      <c r="P12">
        <f>K15-K12</f>
        <v/>
      </c>
      <c r="R12" s="24" t="inlineStr">
        <is>
          <t>FP Shrinkage (mm)</t>
        </is>
      </c>
      <c r="S12" s="22" t="n"/>
      <c r="T12" s="23" t="n"/>
    </row>
    <row r="13">
      <c r="B13" s="12" t="inlineStr">
        <is>
          <t>LR_2</t>
        </is>
      </c>
      <c r="C13" t="n">
        <v>4.875</v>
      </c>
      <c r="D13" t="n">
        <v>-218.95</v>
      </c>
      <c r="F13" t="inlineStr">
        <is>
          <t>X2</t>
        </is>
      </c>
      <c r="G13" s="2" t="inlineStr">
        <is>
          <t>3 - 2</t>
        </is>
      </c>
      <c r="H13">
        <f>C14-C13</f>
        <v/>
      </c>
      <c r="J13" s="12" t="inlineStr">
        <is>
          <t>LR_2</t>
        </is>
      </c>
      <c r="K13" t="n">
        <v>306.671712</v>
      </c>
      <c r="L13" t="n">
        <v>105.04342</v>
      </c>
      <c r="N13" t="inlineStr">
        <is>
          <t>X2</t>
        </is>
      </c>
      <c r="O13" s="2" t="inlineStr">
        <is>
          <t>3 - 2</t>
        </is>
      </c>
      <c r="P13">
        <f>K14-K13</f>
        <v/>
      </c>
      <c r="R13" s="8" t="n"/>
      <c r="S13" t="inlineStr">
        <is>
          <t>X</t>
        </is>
      </c>
      <c r="T13" s="5">
        <f>(T3+T5+T7+T9)/4</f>
        <v/>
      </c>
    </row>
    <row r="14" ht="13.5" customHeight="1" s="4" thickBot="1">
      <c r="B14" s="12" t="inlineStr">
        <is>
          <t>LR_3</t>
        </is>
      </c>
      <c r="C14" t="n">
        <v>237.375</v>
      </c>
      <c r="D14" t="n">
        <v>-218.95</v>
      </c>
      <c r="F14" t="inlineStr">
        <is>
          <t>Y1</t>
        </is>
      </c>
      <c r="G14" s="2" t="inlineStr">
        <is>
          <t>- (2 - 1)</t>
        </is>
      </c>
      <c r="H14">
        <f>-(D13-D12)</f>
        <v/>
      </c>
      <c r="J14" s="12" t="inlineStr">
        <is>
          <t>LR_3</t>
        </is>
      </c>
      <c r="K14" t="n">
        <v>539.250348</v>
      </c>
      <c r="L14" t="n">
        <v>105.53874</v>
      </c>
      <c r="N14" t="inlineStr">
        <is>
          <t>Y1</t>
        </is>
      </c>
      <c r="O14" s="2" t="inlineStr">
        <is>
          <t>- (2 - 1)</t>
        </is>
      </c>
      <c r="P14">
        <f>-(L13-L12)</f>
        <v/>
      </c>
      <c r="R14" s="9" t="n"/>
      <c r="S14" s="6" t="inlineStr">
        <is>
          <t>Y</t>
        </is>
      </c>
      <c r="T14" s="7">
        <f>(T4+T6+T8+T10)/4</f>
        <v/>
      </c>
    </row>
    <row r="15">
      <c r="B15" s="12" t="inlineStr">
        <is>
          <t>LR_4</t>
        </is>
      </c>
      <c r="C15" t="n">
        <v>237.375</v>
      </c>
      <c r="D15" t="n">
        <v>-25.05000000000001</v>
      </c>
      <c r="F15" t="inlineStr">
        <is>
          <t>Y2</t>
        </is>
      </c>
      <c r="G15" s="2" t="inlineStr">
        <is>
          <t>- (3 - 4)</t>
        </is>
      </c>
      <c r="H15">
        <f>-(D14-D15)</f>
        <v/>
      </c>
      <c r="J15" s="12" t="inlineStr">
        <is>
          <t>LR_4</t>
        </is>
      </c>
      <c r="K15" t="n">
        <v>538.837238</v>
      </c>
      <c r="L15" t="n">
        <v>299.514364</v>
      </c>
      <c r="N15" t="inlineStr">
        <is>
          <t>Y2</t>
        </is>
      </c>
      <c r="O15" s="2" t="inlineStr">
        <is>
          <t>- (3 - 4)</t>
        </is>
      </c>
      <c r="P15">
        <f>-(L14-L15)</f>
        <v/>
      </c>
    </row>
    <row r="16">
      <c r="B16" s="12" t="inlineStr">
        <is>
          <t>UR_1</t>
        </is>
      </c>
      <c r="C16" t="n">
        <v>4.875</v>
      </c>
      <c r="D16" t="n">
        <v>218.95</v>
      </c>
      <c r="E16" s="12" t="inlineStr">
        <is>
          <t>UR</t>
        </is>
      </c>
      <c r="F16" t="inlineStr">
        <is>
          <t>X1</t>
        </is>
      </c>
      <c r="G16" s="2" t="inlineStr">
        <is>
          <t>4 - 1</t>
        </is>
      </c>
      <c r="H16">
        <f>C19-C16</f>
        <v/>
      </c>
      <c r="J16" s="12" t="inlineStr">
        <is>
          <t>UR_1</t>
        </is>
      </c>
      <c r="K16" t="n">
        <v>305.730088</v>
      </c>
      <c r="L16" t="n">
        <v>543.095431</v>
      </c>
      <c r="M16" s="12" t="inlineStr">
        <is>
          <t>UR</t>
        </is>
      </c>
      <c r="N16" t="inlineStr">
        <is>
          <t>X1</t>
        </is>
      </c>
      <c r="O16" s="2" t="inlineStr">
        <is>
          <t>4 - 1</t>
        </is>
      </c>
      <c r="P16">
        <f>K19-K16</f>
        <v/>
      </c>
    </row>
    <row r="17">
      <c r="B17" s="12" t="inlineStr">
        <is>
          <t>UR_2</t>
        </is>
      </c>
      <c r="C17" t="n">
        <v>4.875</v>
      </c>
      <c r="D17" t="n">
        <v>25.05</v>
      </c>
      <c r="F17" t="inlineStr">
        <is>
          <t>X2</t>
        </is>
      </c>
      <c r="G17" s="2" t="inlineStr">
        <is>
          <t>3 - 2</t>
        </is>
      </c>
      <c r="H17">
        <f>C18-C17</f>
        <v/>
      </c>
      <c r="J17" s="12" t="inlineStr">
        <is>
          <t>UR_2</t>
        </is>
      </c>
      <c r="K17" t="n">
        <v>306.144163</v>
      </c>
      <c r="L17" t="n">
        <v>349.121635</v>
      </c>
      <c r="N17" t="inlineStr">
        <is>
          <t>X2</t>
        </is>
      </c>
      <c r="O17" s="2" t="inlineStr">
        <is>
          <t>3 - 2</t>
        </is>
      </c>
      <c r="P17">
        <f>K18-K17</f>
        <v/>
      </c>
    </row>
    <row r="18">
      <c r="B18" s="12" t="inlineStr">
        <is>
          <t>UR_3</t>
        </is>
      </c>
      <c r="C18" t="n">
        <v>237.375</v>
      </c>
      <c r="D18" t="n">
        <v>25.05</v>
      </c>
      <c r="F18" t="inlineStr">
        <is>
          <t>Y1</t>
        </is>
      </c>
      <c r="G18" s="2" t="inlineStr">
        <is>
          <t>1 - 2</t>
        </is>
      </c>
      <c r="H18">
        <f>D16-D17</f>
        <v/>
      </c>
      <c r="J18" s="12" t="inlineStr">
        <is>
          <t>UR_3</t>
        </is>
      </c>
      <c r="K18" t="n">
        <v>538.720194</v>
      </c>
      <c r="L18" t="n">
        <v>349.617392</v>
      </c>
      <c r="N18" t="inlineStr">
        <is>
          <t>Y1</t>
        </is>
      </c>
      <c r="O18" s="2" t="inlineStr">
        <is>
          <t>1 - 2</t>
        </is>
      </c>
      <c r="P18">
        <f>L16-L17</f>
        <v/>
      </c>
    </row>
    <row r="19">
      <c r="B19" s="12" t="inlineStr">
        <is>
          <t>UR_4</t>
        </is>
      </c>
      <c r="C19" t="n">
        <v>237.375</v>
      </c>
      <c r="D19" t="n">
        <v>218.95</v>
      </c>
      <c r="F19" t="inlineStr">
        <is>
          <t>Y2</t>
        </is>
      </c>
      <c r="G19" s="2" t="inlineStr">
        <is>
          <t>4 - 3</t>
        </is>
      </c>
      <c r="H19">
        <f>D19-D18</f>
        <v/>
      </c>
      <c r="J19" s="12" t="inlineStr">
        <is>
          <t>UR_4</t>
        </is>
      </c>
      <c r="K19" t="n">
        <v>538.306392</v>
      </c>
      <c r="L19" t="n">
        <v>543.593435</v>
      </c>
      <c r="N19" t="inlineStr">
        <is>
          <t>Y2</t>
        </is>
      </c>
      <c r="O19" s="2" t="inlineStr">
        <is>
          <t>4 - 3</t>
        </is>
      </c>
      <c r="P19">
        <f>L19-L18</f>
        <v/>
      </c>
    </row>
  </sheetData>
  <mergeCells count="18">
    <mergeCell ref="F3:G3"/>
    <mergeCell ref="R9:R10"/>
    <mergeCell ref="E4:E7"/>
    <mergeCell ref="N3:O3"/>
    <mergeCell ref="M8:M11"/>
    <mergeCell ref="R5:R6"/>
    <mergeCell ref="R2:T2"/>
    <mergeCell ref="M12:M15"/>
    <mergeCell ref="M4:M7"/>
    <mergeCell ref="E8:E11"/>
    <mergeCell ref="R3:R4"/>
    <mergeCell ref="R12:T12"/>
    <mergeCell ref="R7:R8"/>
    <mergeCell ref="B2:H2"/>
    <mergeCell ref="E12:E15"/>
    <mergeCell ref="M16:M19"/>
    <mergeCell ref="E16:E19"/>
    <mergeCell ref="J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 Suyeon</dc:creator>
  <dcterms:created xsi:type="dcterms:W3CDTF">2025-11-07T07:34:39Z</dcterms:created>
  <dcterms:modified xsi:type="dcterms:W3CDTF">2026-10-02T21:06:45Z</dcterms:modified>
  <cp:lastModifiedBy>Jo Suyeon</cp:lastModifiedBy>
</cp:coreProperties>
</file>